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1" i="1" l="1"/>
  <c r="T21" i="1"/>
  <c r="D34" i="1" l="1"/>
  <c r="E34" i="1"/>
  <c r="F34" i="1"/>
  <c r="G34" i="1"/>
  <c r="H34" i="1"/>
  <c r="I34" i="1"/>
  <c r="J34" i="1"/>
  <c r="K34" i="1"/>
  <c r="C34" i="1"/>
  <c r="D32" i="1"/>
  <c r="E32" i="1"/>
  <c r="F32" i="1"/>
  <c r="G32" i="1"/>
  <c r="H32" i="1"/>
  <c r="I32" i="1"/>
  <c r="J32" i="1"/>
  <c r="K32" i="1"/>
  <c r="C32" i="1"/>
  <c r="D20" i="1"/>
  <c r="E20" i="1"/>
  <c r="F20" i="1"/>
  <c r="G20" i="1"/>
  <c r="H20" i="1"/>
  <c r="I20" i="1"/>
  <c r="J20" i="1"/>
  <c r="K20" i="1"/>
  <c r="C20" i="1"/>
  <c r="D13" i="1"/>
  <c r="E13" i="1"/>
  <c r="F13" i="1"/>
  <c r="G13" i="1"/>
  <c r="H13" i="1"/>
  <c r="I13" i="1"/>
  <c r="J13" i="1"/>
  <c r="K13" i="1"/>
  <c r="C13" i="1"/>
  <c r="D4" i="1"/>
  <c r="E4" i="1"/>
  <c r="F4" i="1"/>
  <c r="G4" i="1"/>
  <c r="H4" i="1"/>
  <c r="I4" i="1"/>
  <c r="J4" i="1"/>
  <c r="K4" i="1"/>
  <c r="C4" i="1"/>
</calcChain>
</file>

<file path=xl/sharedStrings.xml><?xml version="1.0" encoding="utf-8"?>
<sst xmlns="http://schemas.openxmlformats.org/spreadsheetml/2006/main" count="27" uniqueCount="22">
  <si>
    <t xml:space="preserve">cuenca </t>
  </si>
  <si>
    <t xml:space="preserve">periodos planos </t>
  </si>
  <si>
    <t>window</t>
  </si>
  <si>
    <t>var_thr</t>
  </si>
  <si>
    <t>tol</t>
  </si>
  <si>
    <t>drift_thr</t>
  </si>
  <si>
    <t>pics</t>
  </si>
  <si>
    <t xml:space="preserve">fiwndow </t>
  </si>
  <si>
    <t>k</t>
  </si>
  <si>
    <t>abs_thr</t>
  </si>
  <si>
    <t xml:space="preserve">rangos fisicos </t>
  </si>
  <si>
    <t>min</t>
  </si>
  <si>
    <t>max</t>
  </si>
  <si>
    <t>zona</t>
  </si>
  <si>
    <t>tropical</t>
  </si>
  <si>
    <t>arid</t>
  </si>
  <si>
    <t>mediterranean</t>
  </si>
  <si>
    <t>wet</t>
  </si>
  <si>
    <t>mcphee</t>
  </si>
  <si>
    <t>ianigla</t>
  </si>
  <si>
    <t>MEDIAN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</si>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</sst>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abSelected="1" zoomScale="80" zoomScaleNormal="80" workbookViewId="0">
      <selection activeCell="S22" sqref="S22"/>
    </sheetView>
  </sheetViews>
  <sheetFormatPr baseColWidth="10" defaultColWidth="8.88671875" defaultRowHeight="14.4" x14ac:dyDescent="0.3"/>
  <cols>
    <col min="1" max="1" width="14.5546875" customWidth="1"/>
    <col min="2" max="2" width="10.109375" customWidth="1"/>
  </cols>
  <sheetData>
    <row r="1" spans="1:20" x14ac:dyDescent="0.3">
      <c r="B1" s="2"/>
      <c r="C1" s="4" t="s">
        <v>1</v>
      </c>
      <c r="D1" s="4"/>
      <c r="E1" s="4"/>
      <c r="F1" s="4"/>
      <c r="G1" s="4" t="s">
        <v>6</v>
      </c>
      <c r="H1" s="4"/>
      <c r="I1" s="4"/>
      <c r="J1" s="4" t="s">
        <v>10</v>
      </c>
      <c r="K1" s="4"/>
    </row>
    <row r="2" spans="1:20" x14ac:dyDescent="0.3">
      <c r="A2" t="s">
        <v>13</v>
      </c>
      <c r="B2" s="2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7</v>
      </c>
      <c r="H2" s="1" t="s">
        <v>8</v>
      </c>
      <c r="I2" s="1" t="s">
        <v>9</v>
      </c>
      <c r="J2" s="1" t="s">
        <v>11</v>
      </c>
      <c r="K2" s="1" t="s">
        <v>12</v>
      </c>
    </row>
    <row r="3" spans="1:20" x14ac:dyDescent="0.3">
      <c r="A3" t="s">
        <v>14</v>
      </c>
      <c r="B3">
        <v>20</v>
      </c>
      <c r="C3">
        <v>5</v>
      </c>
      <c r="D3">
        <v>0.5</v>
      </c>
      <c r="E3">
        <v>0.3</v>
      </c>
      <c r="F3">
        <v>0.3</v>
      </c>
      <c r="G3">
        <v>1</v>
      </c>
      <c r="H3">
        <v>4</v>
      </c>
      <c r="I3">
        <v>50</v>
      </c>
      <c r="J3">
        <v>0</v>
      </c>
      <c r="K3">
        <v>80</v>
      </c>
    </row>
    <row r="4" spans="1:20" x14ac:dyDescent="0.3">
      <c r="A4" s="3" t="s">
        <v>20</v>
      </c>
      <c r="B4" s="3"/>
      <c r="C4" s="3">
        <f>MEDIAN(C3)</f>
        <v>5</v>
      </c>
      <c r="D4" s="3">
        <f t="shared" ref="D4:K4" si="0">MEDIAN(D3)</f>
        <v>0.5</v>
      </c>
      <c r="E4" s="3">
        <f t="shared" si="0"/>
        <v>0.3</v>
      </c>
      <c r="F4" s="3">
        <f t="shared" si="0"/>
        <v>0.3</v>
      </c>
      <c r="G4" s="3">
        <f t="shared" si="0"/>
        <v>1</v>
      </c>
      <c r="H4" s="3">
        <f t="shared" si="0"/>
        <v>4</v>
      </c>
      <c r="I4" s="3">
        <f t="shared" si="0"/>
        <v>50</v>
      </c>
      <c r="J4" s="3">
        <f t="shared" si="0"/>
        <v>0</v>
      </c>
      <c r="K4" s="3">
        <f t="shared" si="0"/>
        <v>80</v>
      </c>
    </row>
    <row r="5" spans="1:20" x14ac:dyDescent="0.3">
      <c r="A5" t="s">
        <v>15</v>
      </c>
      <c r="B5">
        <v>23</v>
      </c>
      <c r="C5">
        <v>5</v>
      </c>
      <c r="D5">
        <v>0.5</v>
      </c>
      <c r="E5">
        <v>0.3</v>
      </c>
      <c r="F5">
        <v>0.3</v>
      </c>
      <c r="G5">
        <v>1</v>
      </c>
      <c r="H5">
        <v>4</v>
      </c>
      <c r="I5">
        <v>50</v>
      </c>
      <c r="J5">
        <v>0</v>
      </c>
      <c r="K5">
        <v>100</v>
      </c>
    </row>
    <row r="6" spans="1:20" x14ac:dyDescent="0.3">
      <c r="B6">
        <v>24</v>
      </c>
      <c r="C6">
        <v>5</v>
      </c>
      <c r="D6">
        <v>0.5</v>
      </c>
      <c r="E6">
        <v>0.3</v>
      </c>
      <c r="F6">
        <v>0.3</v>
      </c>
      <c r="G6">
        <v>1</v>
      </c>
      <c r="H6">
        <v>4</v>
      </c>
      <c r="I6">
        <v>50</v>
      </c>
      <c r="J6">
        <v>0</v>
      </c>
      <c r="K6">
        <v>100</v>
      </c>
    </row>
    <row r="7" spans="1:20" x14ac:dyDescent="0.3">
      <c r="B7">
        <v>25</v>
      </c>
      <c r="C7">
        <v>5</v>
      </c>
      <c r="D7">
        <v>0.5</v>
      </c>
      <c r="E7">
        <v>0.3</v>
      </c>
      <c r="F7">
        <v>0.3</v>
      </c>
      <c r="G7">
        <v>1</v>
      </c>
      <c r="H7">
        <v>4</v>
      </c>
      <c r="I7">
        <v>50</v>
      </c>
      <c r="J7">
        <v>0</v>
      </c>
      <c r="K7">
        <v>100</v>
      </c>
    </row>
    <row r="8" spans="1:20" x14ac:dyDescent="0.3">
      <c r="B8">
        <v>30</v>
      </c>
      <c r="C8">
        <v>5</v>
      </c>
      <c r="D8">
        <v>0.5</v>
      </c>
      <c r="E8">
        <v>0.3</v>
      </c>
      <c r="F8">
        <v>0.3</v>
      </c>
      <c r="G8">
        <v>1</v>
      </c>
      <c r="H8">
        <v>4</v>
      </c>
      <c r="I8">
        <v>20</v>
      </c>
      <c r="J8">
        <v>0</v>
      </c>
      <c r="K8">
        <v>40</v>
      </c>
    </row>
    <row r="9" spans="1:20" x14ac:dyDescent="0.3">
      <c r="B9">
        <v>34</v>
      </c>
      <c r="C9">
        <v>5</v>
      </c>
      <c r="D9">
        <v>0.5</v>
      </c>
      <c r="E9">
        <v>0.3</v>
      </c>
      <c r="F9">
        <v>0.3</v>
      </c>
      <c r="G9">
        <v>1</v>
      </c>
      <c r="H9">
        <v>4</v>
      </c>
      <c r="I9">
        <v>100</v>
      </c>
      <c r="J9">
        <v>0</v>
      </c>
      <c r="K9">
        <v>180</v>
      </c>
    </row>
    <row r="10" spans="1:20" x14ac:dyDescent="0.3">
      <c r="B10">
        <v>43</v>
      </c>
      <c r="C10">
        <v>5</v>
      </c>
      <c r="D10">
        <v>0.5</v>
      </c>
      <c r="E10">
        <v>0.3</v>
      </c>
      <c r="F10">
        <v>0.3</v>
      </c>
      <c r="G10">
        <v>1</v>
      </c>
      <c r="H10">
        <v>4</v>
      </c>
      <c r="I10">
        <v>100</v>
      </c>
      <c r="J10">
        <v>0</v>
      </c>
      <c r="K10">
        <v>180</v>
      </c>
    </row>
    <row r="11" spans="1:20" ht="15" thickBot="1" x14ac:dyDescent="0.35">
      <c r="B11">
        <v>45</v>
      </c>
      <c r="C11">
        <v>5</v>
      </c>
      <c r="D11">
        <v>0.5</v>
      </c>
      <c r="E11">
        <v>0.3</v>
      </c>
      <c r="F11">
        <v>0.3</v>
      </c>
      <c r="G11">
        <v>4</v>
      </c>
      <c r="H11">
        <v>4</v>
      </c>
      <c r="I11">
        <v>100</v>
      </c>
      <c r="J11">
        <v>0</v>
      </c>
      <c r="K11">
        <v>200</v>
      </c>
    </row>
    <row r="12" spans="1:20" ht="15" thickBot="1" x14ac:dyDescent="0.35">
      <c r="B12">
        <v>47</v>
      </c>
      <c r="C12">
        <v>5</v>
      </c>
      <c r="D12">
        <v>0.5</v>
      </c>
      <c r="E12">
        <v>0.3</v>
      </c>
      <c r="F12">
        <v>0.3</v>
      </c>
      <c r="G12">
        <v>1</v>
      </c>
      <c r="H12">
        <v>4</v>
      </c>
      <c r="I12">
        <v>150</v>
      </c>
      <c r="J12">
        <v>0</v>
      </c>
      <c r="K12">
        <v>200</v>
      </c>
      <c r="S12" s="5">
        <v>1066</v>
      </c>
      <c r="T12" s="5">
        <v>28</v>
      </c>
    </row>
    <row r="13" spans="1:20" ht="15" thickBot="1" x14ac:dyDescent="0.35">
      <c r="A13" s="3" t="s">
        <v>20</v>
      </c>
      <c r="B13" s="3"/>
      <c r="C13" s="3">
        <f>MEDIAN(C5:C12)</f>
        <v>5</v>
      </c>
      <c r="D13" s="3">
        <f t="shared" ref="D13:K13" si="1">MEDIAN(D5:D12)</f>
        <v>0.5</v>
      </c>
      <c r="E13" s="3">
        <f t="shared" si="1"/>
        <v>0.3</v>
      </c>
      <c r="F13" s="3">
        <f t="shared" si="1"/>
        <v>0.3</v>
      </c>
      <c r="G13" s="3">
        <f t="shared" si="1"/>
        <v>1</v>
      </c>
      <c r="H13" s="3">
        <f t="shared" si="1"/>
        <v>4</v>
      </c>
      <c r="I13" s="3">
        <f t="shared" si="1"/>
        <v>75</v>
      </c>
      <c r="J13" s="3">
        <f t="shared" si="1"/>
        <v>0</v>
      </c>
      <c r="K13" s="3">
        <f t="shared" si="1"/>
        <v>140</v>
      </c>
      <c r="S13" s="5">
        <v>363</v>
      </c>
      <c r="T13" s="5">
        <v>10</v>
      </c>
    </row>
    <row r="14" spans="1:20" ht="15" thickBot="1" x14ac:dyDescent="0.35">
      <c r="A14" t="s">
        <v>16</v>
      </c>
      <c r="B14">
        <v>51</v>
      </c>
      <c r="C14">
        <v>5</v>
      </c>
      <c r="D14">
        <v>0.5</v>
      </c>
      <c r="E14">
        <v>0.3</v>
      </c>
      <c r="F14">
        <v>0.3</v>
      </c>
      <c r="G14">
        <v>4</v>
      </c>
      <c r="H14">
        <v>4</v>
      </c>
      <c r="I14">
        <v>100</v>
      </c>
      <c r="J14">
        <v>0</v>
      </c>
      <c r="K14">
        <v>180</v>
      </c>
      <c r="S14" s="5">
        <v>1907</v>
      </c>
      <c r="T14" s="5">
        <v>72</v>
      </c>
    </row>
    <row r="15" spans="1:20" ht="15" thickBot="1" x14ac:dyDescent="0.35">
      <c r="B15">
        <v>54</v>
      </c>
      <c r="C15">
        <v>5</v>
      </c>
      <c r="D15">
        <v>0.5</v>
      </c>
      <c r="E15">
        <v>0.3</v>
      </c>
      <c r="F15">
        <v>0.3</v>
      </c>
      <c r="G15">
        <v>7</v>
      </c>
      <c r="H15">
        <v>6</v>
      </c>
      <c r="I15">
        <v>200</v>
      </c>
      <c r="J15">
        <v>3</v>
      </c>
      <c r="K15">
        <v>300</v>
      </c>
      <c r="S15" s="5">
        <v>2063</v>
      </c>
      <c r="T15" s="5">
        <v>110</v>
      </c>
    </row>
    <row r="16" spans="1:20" ht="15" thickBot="1" x14ac:dyDescent="0.35">
      <c r="B16">
        <v>57</v>
      </c>
      <c r="C16">
        <v>5</v>
      </c>
      <c r="D16">
        <v>0.5</v>
      </c>
      <c r="E16">
        <v>0.3</v>
      </c>
      <c r="F16">
        <v>0.3</v>
      </c>
      <c r="G16">
        <v>4</v>
      </c>
      <c r="H16">
        <v>7</v>
      </c>
      <c r="I16">
        <v>100</v>
      </c>
      <c r="J16">
        <v>2</v>
      </c>
      <c r="K16">
        <v>500</v>
      </c>
      <c r="S16" s="5">
        <v>1839</v>
      </c>
      <c r="T16" s="5">
        <v>107</v>
      </c>
    </row>
    <row r="17" spans="1:20" ht="15" thickBot="1" x14ac:dyDescent="0.35">
      <c r="B17" t="s">
        <v>18</v>
      </c>
      <c r="C17">
        <v>5</v>
      </c>
      <c r="D17">
        <v>0.5</v>
      </c>
      <c r="E17">
        <v>0.3</v>
      </c>
      <c r="F17">
        <v>0.3</v>
      </c>
      <c r="G17">
        <v>1</v>
      </c>
      <c r="H17">
        <v>4</v>
      </c>
      <c r="I17">
        <v>100</v>
      </c>
      <c r="J17">
        <v>2</v>
      </c>
      <c r="K17">
        <v>250</v>
      </c>
      <c r="S17" s="5">
        <v>983</v>
      </c>
      <c r="T17" s="5">
        <v>79</v>
      </c>
    </row>
    <row r="18" spans="1:20" ht="15" thickBot="1" x14ac:dyDescent="0.35">
      <c r="B18">
        <v>60</v>
      </c>
      <c r="C18">
        <v>5</v>
      </c>
      <c r="D18">
        <v>0.5</v>
      </c>
      <c r="E18">
        <v>0.3</v>
      </c>
      <c r="F18">
        <v>0.3</v>
      </c>
      <c r="G18">
        <v>5</v>
      </c>
      <c r="H18">
        <v>4</v>
      </c>
      <c r="I18">
        <v>150</v>
      </c>
      <c r="J18">
        <v>3</v>
      </c>
      <c r="K18">
        <v>500</v>
      </c>
      <c r="S18" s="5">
        <v>1469</v>
      </c>
      <c r="T18" s="5">
        <v>59</v>
      </c>
    </row>
    <row r="19" spans="1:20" ht="15" thickBot="1" x14ac:dyDescent="0.35">
      <c r="B19">
        <v>71</v>
      </c>
      <c r="C19">
        <v>3</v>
      </c>
      <c r="D19">
        <v>1</v>
      </c>
      <c r="E19">
        <v>1</v>
      </c>
      <c r="F19">
        <v>1</v>
      </c>
      <c r="G19">
        <v>5</v>
      </c>
      <c r="H19">
        <v>4</v>
      </c>
      <c r="I19">
        <v>100</v>
      </c>
      <c r="J19">
        <v>2</v>
      </c>
      <c r="K19">
        <v>420</v>
      </c>
      <c r="S19" s="6">
        <v>315</v>
      </c>
      <c r="T19" s="5">
        <v>32</v>
      </c>
    </row>
    <row r="20" spans="1:20" ht="15" thickBot="1" x14ac:dyDescent="0.35">
      <c r="A20" s="3" t="s">
        <v>20</v>
      </c>
      <c r="B20" s="3"/>
      <c r="C20" s="3">
        <f>MEDIAN(C14:C19)</f>
        <v>5</v>
      </c>
      <c r="D20" s="3">
        <f t="shared" ref="D20:K20" si="2">MEDIAN(D14:D19)</f>
        <v>0.5</v>
      </c>
      <c r="E20" s="3">
        <f t="shared" si="2"/>
        <v>0.3</v>
      </c>
      <c r="F20" s="3">
        <f t="shared" si="2"/>
        <v>0.3</v>
      </c>
      <c r="G20" s="3">
        <f t="shared" si="2"/>
        <v>4.5</v>
      </c>
      <c r="H20" s="3">
        <f t="shared" si="2"/>
        <v>4</v>
      </c>
      <c r="I20" s="3">
        <f t="shared" si="2"/>
        <v>100</v>
      </c>
      <c r="J20" s="3">
        <f t="shared" si="2"/>
        <v>2</v>
      </c>
      <c r="K20" s="3">
        <f t="shared" si="2"/>
        <v>360</v>
      </c>
      <c r="S20" s="5">
        <v>875</v>
      </c>
      <c r="T20" s="5">
        <v>82</v>
      </c>
    </row>
    <row r="21" spans="1:20" x14ac:dyDescent="0.3">
      <c r="A21" t="s">
        <v>17</v>
      </c>
      <c r="B21">
        <v>73</v>
      </c>
      <c r="C21">
        <v>3</v>
      </c>
      <c r="D21">
        <v>1</v>
      </c>
      <c r="E21">
        <v>1</v>
      </c>
      <c r="F21">
        <v>1</v>
      </c>
      <c r="G21">
        <v>4</v>
      </c>
      <c r="H21">
        <v>7</v>
      </c>
      <c r="I21">
        <v>100</v>
      </c>
      <c r="J21">
        <v>3</v>
      </c>
      <c r="K21">
        <v>500</v>
      </c>
      <c r="R21" t="s">
        <v>21</v>
      </c>
      <c r="S21">
        <f>MEDIAN(S12:S20)</f>
        <v>1066</v>
      </c>
      <c r="T21">
        <f>MEDIAN(T12:T20)</f>
        <v>72</v>
      </c>
    </row>
    <row r="22" spans="1:20" x14ac:dyDescent="0.3">
      <c r="B22">
        <v>81</v>
      </c>
      <c r="C22">
        <v>3</v>
      </c>
      <c r="D22">
        <v>1</v>
      </c>
      <c r="E22">
        <v>1</v>
      </c>
      <c r="F22">
        <v>1</v>
      </c>
      <c r="G22">
        <v>5</v>
      </c>
      <c r="H22">
        <v>6</v>
      </c>
      <c r="I22">
        <v>200</v>
      </c>
      <c r="J22">
        <v>2</v>
      </c>
      <c r="K22">
        <v>450</v>
      </c>
    </row>
    <row r="23" spans="1:20" x14ac:dyDescent="0.3">
      <c r="B23">
        <v>83</v>
      </c>
      <c r="C23">
        <v>4</v>
      </c>
      <c r="D23">
        <v>5</v>
      </c>
      <c r="E23">
        <v>1</v>
      </c>
      <c r="F23">
        <v>1</v>
      </c>
      <c r="G23">
        <v>6</v>
      </c>
      <c r="H23">
        <v>5</v>
      </c>
      <c r="I23">
        <v>60</v>
      </c>
      <c r="J23">
        <v>0</v>
      </c>
      <c r="K23">
        <v>600</v>
      </c>
    </row>
    <row r="24" spans="1:20" x14ac:dyDescent="0.3">
      <c r="B24">
        <v>94</v>
      </c>
      <c r="C24">
        <v>5</v>
      </c>
      <c r="D24">
        <v>0.5</v>
      </c>
      <c r="E24">
        <v>0.3</v>
      </c>
      <c r="F24">
        <v>0.3</v>
      </c>
      <c r="G24">
        <v>3</v>
      </c>
      <c r="H24">
        <v>4</v>
      </c>
      <c r="I24">
        <v>100</v>
      </c>
      <c r="J24">
        <v>0</v>
      </c>
      <c r="K24">
        <v>100</v>
      </c>
    </row>
    <row r="25" spans="1:20" x14ac:dyDescent="0.3">
      <c r="B25">
        <v>101</v>
      </c>
      <c r="C25">
        <v>5</v>
      </c>
      <c r="D25">
        <v>0.5</v>
      </c>
      <c r="E25">
        <v>0.3</v>
      </c>
      <c r="F25">
        <v>0.3</v>
      </c>
      <c r="G25">
        <v>3</v>
      </c>
      <c r="H25">
        <v>4</v>
      </c>
      <c r="I25">
        <v>350</v>
      </c>
      <c r="J25">
        <v>0</v>
      </c>
      <c r="K25">
        <v>430</v>
      </c>
    </row>
    <row r="26" spans="1:20" x14ac:dyDescent="0.3">
      <c r="B26">
        <v>103</v>
      </c>
      <c r="C26">
        <v>5</v>
      </c>
      <c r="D26">
        <v>0.5</v>
      </c>
      <c r="E26">
        <v>0.3</v>
      </c>
      <c r="F26">
        <v>0.3</v>
      </c>
      <c r="G26">
        <v>5</v>
      </c>
      <c r="H26">
        <v>4</v>
      </c>
      <c r="I26">
        <v>150</v>
      </c>
      <c r="J26">
        <v>0</v>
      </c>
      <c r="K26">
        <v>300</v>
      </c>
    </row>
    <row r="27" spans="1:20" x14ac:dyDescent="0.3">
      <c r="B27">
        <v>107</v>
      </c>
      <c r="C27">
        <v>5</v>
      </c>
      <c r="D27">
        <v>0.5</v>
      </c>
      <c r="E27">
        <v>0.3</v>
      </c>
      <c r="F27">
        <v>0.3</v>
      </c>
      <c r="G27">
        <v>1</v>
      </c>
      <c r="H27">
        <v>6</v>
      </c>
      <c r="I27">
        <v>140</v>
      </c>
      <c r="J27">
        <v>5</v>
      </c>
      <c r="K27">
        <v>300</v>
      </c>
    </row>
    <row r="28" spans="1:20" x14ac:dyDescent="0.3">
      <c r="B28">
        <v>113</v>
      </c>
      <c r="C28">
        <v>5</v>
      </c>
      <c r="D28">
        <v>0.5</v>
      </c>
      <c r="E28">
        <v>0.3</v>
      </c>
      <c r="F28">
        <v>0.3</v>
      </c>
      <c r="G28">
        <v>1</v>
      </c>
      <c r="H28">
        <v>6</v>
      </c>
      <c r="I28">
        <v>140</v>
      </c>
      <c r="J28">
        <v>5</v>
      </c>
      <c r="K28">
        <v>300</v>
      </c>
    </row>
    <row r="29" spans="1:20" x14ac:dyDescent="0.3">
      <c r="B29">
        <v>114</v>
      </c>
      <c r="C29">
        <v>5</v>
      </c>
      <c r="D29">
        <v>0.5</v>
      </c>
      <c r="E29">
        <v>0.3</v>
      </c>
      <c r="F29">
        <v>0.3</v>
      </c>
      <c r="G29">
        <v>1</v>
      </c>
      <c r="H29">
        <v>6</v>
      </c>
      <c r="I29">
        <v>140</v>
      </c>
      <c r="J29">
        <v>5</v>
      </c>
      <c r="K29">
        <v>300</v>
      </c>
    </row>
    <row r="30" spans="1:20" x14ac:dyDescent="0.3">
      <c r="B30">
        <v>115</v>
      </c>
      <c r="C30">
        <v>5</v>
      </c>
      <c r="D30">
        <v>0.5</v>
      </c>
      <c r="E30">
        <v>0.3</v>
      </c>
      <c r="F30">
        <v>0.3</v>
      </c>
      <c r="G30">
        <v>1</v>
      </c>
      <c r="H30">
        <v>6</v>
      </c>
      <c r="I30">
        <v>140</v>
      </c>
      <c r="J30">
        <v>5</v>
      </c>
      <c r="K30">
        <v>300</v>
      </c>
    </row>
    <row r="31" spans="1:20" x14ac:dyDescent="0.3">
      <c r="B31">
        <v>127</v>
      </c>
      <c r="C31">
        <v>5</v>
      </c>
      <c r="D31">
        <v>0.5</v>
      </c>
      <c r="E31">
        <v>0.3</v>
      </c>
      <c r="F31">
        <v>0.3</v>
      </c>
      <c r="G31">
        <v>1</v>
      </c>
      <c r="H31">
        <v>6</v>
      </c>
      <c r="I31">
        <v>140</v>
      </c>
      <c r="J31">
        <v>2</v>
      </c>
      <c r="K31">
        <v>300</v>
      </c>
    </row>
    <row r="32" spans="1:20" x14ac:dyDescent="0.3">
      <c r="A32" s="3" t="s">
        <v>20</v>
      </c>
      <c r="B32" s="3"/>
      <c r="C32" s="3">
        <f>MEDIAN(C21:C31)</f>
        <v>5</v>
      </c>
      <c r="D32" s="3">
        <f t="shared" ref="D32:K32" si="3">MEDIAN(D21:D31)</f>
        <v>0.5</v>
      </c>
      <c r="E32" s="3">
        <f t="shared" si="3"/>
        <v>0.3</v>
      </c>
      <c r="F32" s="3">
        <f t="shared" si="3"/>
        <v>0.3</v>
      </c>
      <c r="G32" s="3">
        <f t="shared" si="3"/>
        <v>3</v>
      </c>
      <c r="H32" s="3">
        <f t="shared" si="3"/>
        <v>6</v>
      </c>
      <c r="I32" s="3">
        <f t="shared" si="3"/>
        <v>140</v>
      </c>
      <c r="J32" s="3">
        <f t="shared" si="3"/>
        <v>2</v>
      </c>
      <c r="K32" s="3">
        <f t="shared" si="3"/>
        <v>300</v>
      </c>
    </row>
    <row r="33" spans="1:11" x14ac:dyDescent="0.3">
      <c r="A33" t="s">
        <v>19</v>
      </c>
      <c r="B33" t="s">
        <v>19</v>
      </c>
      <c r="C33">
        <v>5</v>
      </c>
      <c r="D33">
        <v>0.5</v>
      </c>
      <c r="E33">
        <v>0.3</v>
      </c>
      <c r="F33">
        <v>0.3</v>
      </c>
      <c r="G33">
        <v>1</v>
      </c>
      <c r="H33">
        <v>4</v>
      </c>
      <c r="I33">
        <v>100</v>
      </c>
      <c r="J33">
        <v>2</v>
      </c>
      <c r="K33">
        <v>250</v>
      </c>
    </row>
    <row r="34" spans="1:11" x14ac:dyDescent="0.3">
      <c r="A34" s="3" t="s">
        <v>20</v>
      </c>
      <c r="B34" s="3"/>
      <c r="C34" s="3">
        <f>MEDIAN(C33)</f>
        <v>5</v>
      </c>
      <c r="D34" s="3">
        <f t="shared" ref="D34:K34" si="4">MEDIAN(D33)</f>
        <v>0.5</v>
      </c>
      <c r="E34" s="3">
        <f t="shared" si="4"/>
        <v>0.3</v>
      </c>
      <c r="F34" s="3">
        <f t="shared" si="4"/>
        <v>0.3</v>
      </c>
      <c r="G34" s="3">
        <f t="shared" si="4"/>
        <v>1</v>
      </c>
      <c r="H34" s="3">
        <f t="shared" si="4"/>
        <v>4</v>
      </c>
      <c r="I34" s="3">
        <f t="shared" si="4"/>
        <v>100</v>
      </c>
      <c r="J34" s="3">
        <f t="shared" si="4"/>
        <v>2</v>
      </c>
      <c r="K34" s="3">
        <f t="shared" si="4"/>
        <v>250</v>
      </c>
    </row>
  </sheetData>
  <mergeCells count="3">
    <mergeCell ref="C1:F1"/>
    <mergeCell ref="G1:I1"/>
    <mergeCell ref="J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2026-03-31T17:03:00Z</dcterms:modified>
</cp:coreProperties>
</file>